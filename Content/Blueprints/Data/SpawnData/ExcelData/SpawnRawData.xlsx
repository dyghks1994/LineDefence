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ChoiYohwan\Projects\Exam03_LineDefence\LineDefence\Content\Blueprints\Data\SpawnData\ExcelData\"/>
    </mc:Choice>
  </mc:AlternateContent>
  <bookViews>
    <workbookView xWindow="7770" yWindow="2745" windowWidth="28800" windowHeight="15375"/>
  </bookViews>
  <sheets>
    <sheet name="스폰 raw 데이터" sheetId="1" r:id="rId1"/>
    <sheet name="스탯 기초값" sheetId="2" r:id="rId2"/>
  </sheets>
  <definedNames>
    <definedName name="_xlnm._FilterDatabase" localSheetId="0" hidden="1">'스폰 raw 데이터'!$A$1:$D$25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B8" i="1" l="1"/>
  <c r="B9" i="1"/>
  <c r="B10" i="1"/>
  <c r="B11" i="1"/>
  <c r="B12" i="1"/>
  <c r="B7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<sst xmlns="http://schemas.openxmlformats.org/spreadsheetml/2006/main" count="61" uniqueCount="46">
  <si>
    <t>RowName</t>
    <phoneticPr fontId="1" type="noConversion"/>
  </si>
  <si>
    <t>SpawnTime</t>
    <phoneticPr fontId="1" type="noConversion"/>
  </si>
  <si>
    <t>EnemyType</t>
    <phoneticPr fontId="1" type="noConversion"/>
  </si>
  <si>
    <t>Wave1_01</t>
    <phoneticPr fontId="1" type="noConversion"/>
  </si>
  <si>
    <t>Wave1_02</t>
  </si>
  <si>
    <t>Wave1_03</t>
  </si>
  <si>
    <t>Wave1_04</t>
  </si>
  <si>
    <t>Wave1_05</t>
  </si>
  <si>
    <t>Wave2_01</t>
    <phoneticPr fontId="1" type="noConversion"/>
  </si>
  <si>
    <t>Wave2_02</t>
  </si>
  <si>
    <t>Wave2_03</t>
  </si>
  <si>
    <t>Wave2_04</t>
  </si>
  <si>
    <t>Wave2_05</t>
  </si>
  <si>
    <t>Wave2_06</t>
  </si>
  <si>
    <t>Wave3_01</t>
    <phoneticPr fontId="1" type="noConversion"/>
  </si>
  <si>
    <t>Wave3_02</t>
  </si>
  <si>
    <t>Wave3_03</t>
  </si>
  <si>
    <t>Wave3_04</t>
  </si>
  <si>
    <t>Wave3_05</t>
  </si>
  <si>
    <t>Wave3_06</t>
  </si>
  <si>
    <t>Wave3_07</t>
  </si>
  <si>
    <t>Wave3_08</t>
  </si>
  <si>
    <t>Wave3_09</t>
  </si>
  <si>
    <t>Wave3_10</t>
  </si>
  <si>
    <t>Wave3_11</t>
  </si>
  <si>
    <t>Wave3_12</t>
  </si>
  <si>
    <t>Wave3_13</t>
  </si>
  <si>
    <t>WaveCount</t>
    <phoneticPr fontId="1" type="noConversion"/>
  </si>
  <si>
    <t>BaseHp</t>
    <phoneticPr fontId="1" type="noConversion"/>
  </si>
  <si>
    <t>BaseSpeed</t>
    <phoneticPr fontId="1" type="noConversion"/>
  </si>
  <si>
    <t>StatMultiplier</t>
    <phoneticPr fontId="1" type="noConversion"/>
  </si>
  <si>
    <t>Melee</t>
    <phoneticPr fontId="1" type="noConversion"/>
  </si>
  <si>
    <t>Melee</t>
    <phoneticPr fontId="1" type="noConversion"/>
  </si>
  <si>
    <t>Melee</t>
    <phoneticPr fontId="1" type="noConversion"/>
  </si>
  <si>
    <t>Melee</t>
    <phoneticPr fontId="1" type="noConversion"/>
  </si>
  <si>
    <t>Melee</t>
    <phoneticPr fontId="1" type="noConversion"/>
  </si>
  <si>
    <t>Ranged</t>
    <phoneticPr fontId="1" type="noConversion"/>
  </si>
  <si>
    <t>Ranged</t>
    <phoneticPr fontId="1" type="noConversion"/>
  </si>
  <si>
    <t>Ranged</t>
    <phoneticPr fontId="1" type="noConversion"/>
  </si>
  <si>
    <t>Ranged</t>
    <phoneticPr fontId="1" type="noConversion"/>
  </si>
  <si>
    <t>타입별 스탯 값</t>
    <phoneticPr fontId="1" type="noConversion"/>
  </si>
  <si>
    <t>Melee</t>
    <phoneticPr fontId="1" type="noConversion"/>
  </si>
  <si>
    <t>Ranged</t>
    <phoneticPr fontId="1" type="noConversion"/>
  </si>
  <si>
    <t>Boss</t>
    <phoneticPr fontId="1" type="noConversion"/>
  </si>
  <si>
    <t>hp</t>
    <phoneticPr fontId="1" type="noConversion"/>
  </si>
  <si>
    <t>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</si>
</sst>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I12" sqref="I12"/>
    </sheetView>
  </sheetViews>
  <sheetFormatPr defaultRowHeight="16.5" x14ac:dyDescent="0.3"/>
  <cols>
    <col min="1" max="1" width="14.125" style="2" bestFit="1" customWidth="1"/>
    <col min="2" max="2" width="12" style="2" bestFit="1" customWidth="1"/>
    <col min="3" max="3" width="13.375" style="1" bestFit="1" customWidth="1"/>
    <col min="4" max="4" width="13.25" style="1" bestFit="1" customWidth="1"/>
    <col min="6" max="6" width="10.625" bestFit="1" customWidth="1"/>
    <col min="7" max="7" width="13.375" bestFit="1" customWidth="1"/>
  </cols>
  <sheetData>
    <row r="1" spans="1:7" x14ac:dyDescent="0.3">
      <c r="A1" s="2" t="s">
        <v>0</v>
      </c>
      <c r="B1" s="2" t="s">
        <v>27</v>
      </c>
      <c r="C1" s="1" t="s">
        <v>1</v>
      </c>
      <c r="D1" s="1" t="s">
        <v>2</v>
      </c>
      <c r="E1" t="s">
        <v>28</v>
      </c>
      <c r="F1" t="s">
        <v>29</v>
      </c>
      <c r="G1" t="s">
        <v>30</v>
      </c>
    </row>
    <row r="2" spans="1:7" x14ac:dyDescent="0.3">
      <c r="A2" s="2" t="s">
        <v>3</v>
      </c>
      <c r="B2" s="2" t="str">
        <f>MID(A2,5,1)</f>
        <v>1</v>
      </c>
      <c r="C2" s="3">
        <v>0.5</v>
      </c>
      <c r="D2" s="1" t="s">
        <v>31</v>
      </c>
      <c r="E2">
        <f>VLOOKUP(D2,'스탯 기초값'!$A$2:$C$4,2,0)</f>
        <v>150</v>
      </c>
      <c r="F2" s="4">
        <f>VLOOKUP(D2,'스탯 기초값'!$A$2:$C$4,3,0)</f>
        <v>100</v>
      </c>
      <c r="G2">
        <f>QUOTIENT(B2/3,1)</f>
        <v>0</v>
      </c>
    </row>
    <row r="3" spans="1:7" x14ac:dyDescent="0.3">
      <c r="A3" s="2" t="s">
        <v>4</v>
      </c>
      <c r="B3" s="2" t="str">
        <f t="shared" ref="B3:B12" si="0">MID(A3,5,1)</f>
        <v>1</v>
      </c>
      <c r="C3" s="3">
        <v>1</v>
      </c>
      <c r="D3" s="1" t="s">
        <v>31</v>
      </c>
      <c r="E3">
        <f>VLOOKUP(D3,'스탯 기초값'!$A$2:$C$4,2,0)</f>
        <v>150</v>
      </c>
      <c r="F3" s="4">
        <f>VLOOKUP(D3,'스탯 기초값'!$A$2:$C$4,3,0)</f>
        <v>100</v>
      </c>
      <c r="G3">
        <f t="shared" ref="G3:G25" si="1">QUOTIENT(B3/3,1)</f>
        <v>0</v>
      </c>
    </row>
    <row r="4" spans="1:7" x14ac:dyDescent="0.3">
      <c r="A4" s="2" t="s">
        <v>5</v>
      </c>
      <c r="B4" s="2" t="str">
        <f t="shared" si="0"/>
        <v>1</v>
      </c>
      <c r="C4" s="3">
        <v>1.3</v>
      </c>
      <c r="D4" s="1" t="s">
        <v>36</v>
      </c>
      <c r="E4">
        <f>VLOOKUP(D4,'스탯 기초값'!$A$2:$C$4,2,0)</f>
        <v>100</v>
      </c>
      <c r="F4" s="4">
        <f>VLOOKUP(D4,'스탯 기초값'!$A$2:$C$4,3,0)</f>
        <v>80</v>
      </c>
      <c r="G4">
        <f t="shared" si="1"/>
        <v>0</v>
      </c>
    </row>
    <row r="5" spans="1:7" x14ac:dyDescent="0.3">
      <c r="A5" s="2" t="s">
        <v>6</v>
      </c>
      <c r="B5" s="2" t="str">
        <f t="shared" si="0"/>
        <v>1</v>
      </c>
      <c r="C5" s="3">
        <v>1.5</v>
      </c>
      <c r="D5" s="1" t="s">
        <v>37</v>
      </c>
      <c r="E5">
        <f>VLOOKUP(D5,'스탯 기초값'!$A$2:$C$4,2,0)</f>
        <v>100</v>
      </c>
      <c r="F5" s="4">
        <f>VLOOKUP(D5,'스탯 기초값'!$A$2:$C$4,3,0)</f>
        <v>80</v>
      </c>
      <c r="G5">
        <f t="shared" si="1"/>
        <v>0</v>
      </c>
    </row>
    <row r="6" spans="1:7" x14ac:dyDescent="0.3">
      <c r="A6" s="2" t="s">
        <v>7</v>
      </c>
      <c r="B6" s="2" t="str">
        <f t="shared" si="0"/>
        <v>1</v>
      </c>
      <c r="C6" s="3">
        <v>1.7</v>
      </c>
      <c r="D6" s="1" t="s">
        <v>31</v>
      </c>
      <c r="E6">
        <f>VLOOKUP(D6,'스탯 기초값'!$A$2:$C$4,2,0)</f>
        <v>150</v>
      </c>
      <c r="F6" s="4">
        <f>VLOOKUP(D6,'스탯 기초값'!$A$2:$C$4,3,0)</f>
        <v>100</v>
      </c>
      <c r="G6">
        <f t="shared" si="1"/>
        <v>0</v>
      </c>
    </row>
    <row r="7" spans="1:7" x14ac:dyDescent="0.3">
      <c r="A7" s="2" t="s">
        <v>8</v>
      </c>
      <c r="B7" s="2" t="str">
        <f t="shared" si="0"/>
        <v>2</v>
      </c>
      <c r="C7" s="3">
        <v>0.3</v>
      </c>
      <c r="D7" s="1" t="s">
        <v>32</v>
      </c>
      <c r="E7">
        <f>VLOOKUP(D7,'스탯 기초값'!$A$2:$C$4,2,0)</f>
        <v>150</v>
      </c>
      <c r="F7" s="4">
        <f>VLOOKUP(D7,'스탯 기초값'!$A$2:$C$4,3,0)</f>
        <v>100</v>
      </c>
      <c r="G7">
        <f t="shared" si="1"/>
        <v>0</v>
      </c>
    </row>
    <row r="8" spans="1:7" x14ac:dyDescent="0.3">
      <c r="A8" s="2" t="s">
        <v>9</v>
      </c>
      <c r="B8" s="2" t="str">
        <f t="shared" si="0"/>
        <v>2</v>
      </c>
      <c r="C8" s="3">
        <v>0.5</v>
      </c>
      <c r="D8" s="1" t="s">
        <v>32</v>
      </c>
      <c r="E8">
        <f>VLOOKUP(D8,'스탯 기초값'!$A$2:$C$4,2,0)</f>
        <v>150</v>
      </c>
      <c r="F8" s="4">
        <f>VLOOKUP(D8,'스탯 기초값'!$A$2:$C$4,3,0)</f>
        <v>100</v>
      </c>
      <c r="G8">
        <f t="shared" si="1"/>
        <v>0</v>
      </c>
    </row>
    <row r="9" spans="1:7" x14ac:dyDescent="0.3">
      <c r="A9" s="2" t="s">
        <v>10</v>
      </c>
      <c r="B9" s="2" t="str">
        <f t="shared" si="0"/>
        <v>2</v>
      </c>
      <c r="C9" s="3">
        <v>0.7</v>
      </c>
      <c r="D9" s="1" t="s">
        <v>36</v>
      </c>
      <c r="E9">
        <f>VLOOKUP(D9,'스탯 기초값'!$A$2:$C$4,2,0)</f>
        <v>100</v>
      </c>
      <c r="F9" s="4">
        <f>VLOOKUP(D9,'스탯 기초값'!$A$2:$C$4,3,0)</f>
        <v>80</v>
      </c>
      <c r="G9">
        <f t="shared" si="1"/>
        <v>0</v>
      </c>
    </row>
    <row r="10" spans="1:7" x14ac:dyDescent="0.3">
      <c r="A10" s="2" t="s">
        <v>11</v>
      </c>
      <c r="B10" s="2" t="str">
        <f t="shared" si="0"/>
        <v>2</v>
      </c>
      <c r="C10" s="3">
        <v>1.2</v>
      </c>
      <c r="D10" s="1" t="s">
        <v>38</v>
      </c>
      <c r="E10">
        <f>VLOOKUP(D10,'스탯 기초값'!$A$2:$C$4,2,0)</f>
        <v>100</v>
      </c>
      <c r="F10" s="4">
        <f>VLOOKUP(D10,'스탯 기초값'!$A$2:$C$4,3,0)</f>
        <v>80</v>
      </c>
      <c r="G10">
        <f t="shared" si="1"/>
        <v>0</v>
      </c>
    </row>
    <row r="11" spans="1:7" x14ac:dyDescent="0.3">
      <c r="A11" s="2" t="s">
        <v>12</v>
      </c>
      <c r="B11" s="2" t="str">
        <f t="shared" si="0"/>
        <v>2</v>
      </c>
      <c r="C11" s="3">
        <v>1.5</v>
      </c>
      <c r="D11" s="1" t="s">
        <v>37</v>
      </c>
      <c r="E11">
        <f>VLOOKUP(D11,'스탯 기초값'!$A$2:$C$4,2,0)</f>
        <v>100</v>
      </c>
      <c r="F11" s="4">
        <f>VLOOKUP(D11,'스탯 기초값'!$A$2:$C$4,3,0)</f>
        <v>80</v>
      </c>
      <c r="G11">
        <f t="shared" si="1"/>
        <v>0</v>
      </c>
    </row>
    <row r="12" spans="1:7" x14ac:dyDescent="0.3">
      <c r="A12" s="2" t="s">
        <v>13</v>
      </c>
      <c r="B12" s="2" t="str">
        <f t="shared" si="0"/>
        <v>2</v>
      </c>
      <c r="C12" s="3">
        <v>2</v>
      </c>
      <c r="D12" s="1" t="s">
        <v>36</v>
      </c>
      <c r="E12">
        <f>VLOOKUP(D12,'스탯 기초값'!$A$2:$C$4,2,0)</f>
        <v>100</v>
      </c>
      <c r="F12" s="4">
        <f>VLOOKUP(D12,'스탯 기초값'!$A$2:$C$4,3,0)</f>
        <v>80</v>
      </c>
      <c r="G12">
        <f t="shared" si="1"/>
        <v>0</v>
      </c>
    </row>
    <row r="13" spans="1:7" x14ac:dyDescent="0.3">
      <c r="A13" s="2" t="s">
        <v>14</v>
      </c>
      <c r="B13" s="2">
        <v>3</v>
      </c>
      <c r="C13" s="3">
        <v>0</v>
      </c>
      <c r="D13" s="1" t="s">
        <v>32</v>
      </c>
      <c r="E13">
        <f>VLOOKUP(D13,'스탯 기초값'!$A$2:$C$4,2,0)</f>
        <v>150</v>
      </c>
      <c r="F13" s="4">
        <f>VLOOKUP(D13,'스탯 기초값'!$A$2:$C$4,3,0)</f>
        <v>100</v>
      </c>
      <c r="G13">
        <f t="shared" si="1"/>
        <v>1</v>
      </c>
    </row>
    <row r="14" spans="1:7" x14ac:dyDescent="0.3">
      <c r="A14" s="2" t="s">
        <v>15</v>
      </c>
      <c r="B14" s="2">
        <v>3</v>
      </c>
      <c r="C14" s="3">
        <v>0</v>
      </c>
      <c r="D14" s="1" t="s">
        <v>33</v>
      </c>
      <c r="E14">
        <f>VLOOKUP(D14,'스탯 기초값'!$A$2:$C$4,2,0)</f>
        <v>150</v>
      </c>
      <c r="F14" s="4">
        <f>VLOOKUP(D14,'스탯 기초값'!$A$2:$C$4,3,0)</f>
        <v>100</v>
      </c>
      <c r="G14">
        <f t="shared" si="1"/>
        <v>1</v>
      </c>
    </row>
    <row r="15" spans="1:7" x14ac:dyDescent="0.3">
      <c r="A15" s="2" t="s">
        <v>16</v>
      </c>
      <c r="B15" s="2">
        <v>3</v>
      </c>
      <c r="C15" s="3">
        <v>0.5</v>
      </c>
      <c r="D15" s="1" t="s">
        <v>32</v>
      </c>
      <c r="E15">
        <f>VLOOKUP(D15,'스탯 기초값'!$A$2:$C$4,2,0)</f>
        <v>150</v>
      </c>
      <c r="F15" s="4">
        <f>VLOOKUP(D15,'스탯 기초값'!$A$2:$C$4,3,0)</f>
        <v>100</v>
      </c>
      <c r="G15">
        <f t="shared" si="1"/>
        <v>1</v>
      </c>
    </row>
    <row r="16" spans="1:7" x14ac:dyDescent="0.3">
      <c r="A16" s="2" t="s">
        <v>17</v>
      </c>
      <c r="B16" s="2">
        <v>3</v>
      </c>
      <c r="C16" s="3">
        <v>0.7</v>
      </c>
      <c r="D16" s="1" t="s">
        <v>34</v>
      </c>
      <c r="E16">
        <f>VLOOKUP(D16,'스탯 기초값'!$A$2:$C$4,2,0)</f>
        <v>150</v>
      </c>
      <c r="F16" s="4">
        <f>VLOOKUP(D16,'스탯 기초값'!$A$2:$C$4,3,0)</f>
        <v>100</v>
      </c>
      <c r="G16">
        <f t="shared" si="1"/>
        <v>1</v>
      </c>
    </row>
    <row r="17" spans="1:7" x14ac:dyDescent="0.3">
      <c r="A17" s="2" t="s">
        <v>18</v>
      </c>
      <c r="B17" s="2">
        <v>3</v>
      </c>
      <c r="C17" s="3">
        <v>0.8</v>
      </c>
      <c r="D17" s="1" t="s">
        <v>32</v>
      </c>
      <c r="E17">
        <f>VLOOKUP(D17,'스탯 기초값'!$A$2:$C$4,2,0)</f>
        <v>150</v>
      </c>
      <c r="F17" s="4">
        <f>VLOOKUP(D17,'스탯 기초값'!$A$2:$C$4,3,0)</f>
        <v>100</v>
      </c>
      <c r="G17">
        <f t="shared" si="1"/>
        <v>1</v>
      </c>
    </row>
    <row r="18" spans="1:7" x14ac:dyDescent="0.3">
      <c r="A18" s="2" t="s">
        <v>19</v>
      </c>
      <c r="B18" s="2">
        <v>3</v>
      </c>
      <c r="C18" s="3">
        <v>1.5</v>
      </c>
      <c r="D18" s="1" t="s">
        <v>32</v>
      </c>
      <c r="E18">
        <f>VLOOKUP(D18,'스탯 기초값'!$A$2:$C$4,2,0)</f>
        <v>150</v>
      </c>
      <c r="F18" s="4">
        <f>VLOOKUP(D18,'스탯 기초값'!$A$2:$C$4,3,0)</f>
        <v>100</v>
      </c>
      <c r="G18">
        <f t="shared" si="1"/>
        <v>1</v>
      </c>
    </row>
    <row r="19" spans="1:7" x14ac:dyDescent="0.3">
      <c r="A19" s="2" t="s">
        <v>20</v>
      </c>
      <c r="B19" s="2">
        <v>3</v>
      </c>
      <c r="C19" s="3">
        <v>2</v>
      </c>
      <c r="D19" s="1" t="s">
        <v>35</v>
      </c>
      <c r="E19">
        <f>VLOOKUP(D19,'스탯 기초값'!$A$2:$C$4,2,0)</f>
        <v>150</v>
      </c>
      <c r="F19" s="4">
        <f>VLOOKUP(D19,'스탯 기초값'!$A$2:$C$4,3,0)</f>
        <v>100</v>
      </c>
      <c r="G19">
        <f t="shared" si="1"/>
        <v>1</v>
      </c>
    </row>
    <row r="20" spans="1:7" x14ac:dyDescent="0.3">
      <c r="A20" s="2" t="s">
        <v>21</v>
      </c>
      <c r="B20" s="2">
        <v>3</v>
      </c>
      <c r="C20" s="3">
        <v>2.2000000000000002</v>
      </c>
      <c r="D20" s="1" t="s">
        <v>37</v>
      </c>
      <c r="E20">
        <f>VLOOKUP(D20,'스탯 기초값'!$A$2:$C$4,2,0)</f>
        <v>100</v>
      </c>
      <c r="F20" s="4">
        <f>VLOOKUP(D20,'스탯 기초값'!$A$2:$C$4,3,0)</f>
        <v>80</v>
      </c>
      <c r="G20">
        <f t="shared" si="1"/>
        <v>1</v>
      </c>
    </row>
    <row r="21" spans="1:7" x14ac:dyDescent="0.3">
      <c r="A21" s="2" t="s">
        <v>22</v>
      </c>
      <c r="B21" s="2">
        <v>3</v>
      </c>
      <c r="C21" s="3">
        <v>2.2999999999999998</v>
      </c>
      <c r="D21" s="1" t="s">
        <v>39</v>
      </c>
      <c r="E21">
        <f>VLOOKUP(D21,'스탯 기초값'!$A$2:$C$4,2,0)</f>
        <v>100</v>
      </c>
      <c r="F21" s="4">
        <f>VLOOKUP(D21,'스탯 기초값'!$A$2:$C$4,3,0)</f>
        <v>80</v>
      </c>
      <c r="G21">
        <f t="shared" si="1"/>
        <v>1</v>
      </c>
    </row>
    <row r="22" spans="1:7" x14ac:dyDescent="0.3">
      <c r="A22" s="2" t="s">
        <v>23</v>
      </c>
      <c r="B22" s="2">
        <v>3</v>
      </c>
      <c r="C22" s="3">
        <v>2.7</v>
      </c>
      <c r="D22" s="1" t="s">
        <v>37</v>
      </c>
      <c r="E22">
        <f>VLOOKUP(D22,'스탯 기초값'!$A$2:$C$4,2,0)</f>
        <v>100</v>
      </c>
      <c r="F22" s="4">
        <f>VLOOKUP(D22,'스탯 기초값'!$A$2:$C$4,3,0)</f>
        <v>80</v>
      </c>
      <c r="G22">
        <f t="shared" si="1"/>
        <v>1</v>
      </c>
    </row>
    <row r="23" spans="1:7" x14ac:dyDescent="0.3">
      <c r="A23" s="2" t="s">
        <v>24</v>
      </c>
      <c r="B23" s="2">
        <v>3</v>
      </c>
      <c r="C23" s="3">
        <v>2.8</v>
      </c>
      <c r="D23" s="1" t="s">
        <v>36</v>
      </c>
      <c r="E23">
        <f>VLOOKUP(D23,'스탯 기초값'!$A$2:$C$4,2,0)</f>
        <v>100</v>
      </c>
      <c r="F23" s="4">
        <f>VLOOKUP(D23,'스탯 기초값'!$A$2:$C$4,3,0)</f>
        <v>80</v>
      </c>
      <c r="G23">
        <f t="shared" si="1"/>
        <v>1</v>
      </c>
    </row>
    <row r="24" spans="1:7" x14ac:dyDescent="0.3">
      <c r="A24" s="2" t="s">
        <v>25</v>
      </c>
      <c r="B24" s="2">
        <v>3</v>
      </c>
      <c r="C24" s="3">
        <v>2.9</v>
      </c>
      <c r="D24" s="1" t="s">
        <v>36</v>
      </c>
      <c r="E24">
        <f>VLOOKUP(D24,'스탯 기초값'!$A$2:$C$4,2,0)</f>
        <v>100</v>
      </c>
      <c r="F24" s="4">
        <f>VLOOKUP(D24,'스탯 기초값'!$A$2:$C$4,3,0)</f>
        <v>80</v>
      </c>
      <c r="G24">
        <f t="shared" si="1"/>
        <v>1</v>
      </c>
    </row>
    <row r="25" spans="1:7" x14ac:dyDescent="0.3">
      <c r="A25" s="2" t="s">
        <v>26</v>
      </c>
      <c r="B25" s="2">
        <v>3</v>
      </c>
      <c r="C25" s="3">
        <v>3</v>
      </c>
      <c r="D25" s="1" t="s">
        <v>37</v>
      </c>
      <c r="E25">
        <f>VLOOKUP(D25,'스탯 기초값'!$A$2:$C$4,2,0)</f>
        <v>100</v>
      </c>
      <c r="F25" s="4">
        <f>VLOOKUP(D25,'스탯 기초값'!$A$2:$C$4,3,0)</f>
        <v>80</v>
      </c>
      <c r="G25">
        <f t="shared" si="1"/>
        <v>1</v>
      </c>
    </row>
  </sheetData>
  <autoFilter ref="A1:D25"/>
  <phoneticPr fontId="1" type="noConversion"/>
  <dataValidations count="1">
    <dataValidation type="list" allowBlank="1" showInputMessage="1" showErrorMessage="1" sqref="D2:D1048576">
      <formula1>"Melee, Ranged, Boss"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5" sqref="C5"/>
    </sheetView>
  </sheetViews>
  <sheetFormatPr defaultRowHeight="16.5" x14ac:dyDescent="0.3"/>
  <cols>
    <col min="1" max="1" width="14.375" bestFit="1" customWidth="1"/>
  </cols>
  <sheetData>
    <row r="1" spans="1:3" x14ac:dyDescent="0.3">
      <c r="A1" t="s">
        <v>40</v>
      </c>
      <c r="B1" t="s">
        <v>44</v>
      </c>
      <c r="C1" t="s">
        <v>45</v>
      </c>
    </row>
    <row r="2" spans="1:3" x14ac:dyDescent="0.3">
      <c r="A2" t="s">
        <v>41</v>
      </c>
      <c r="B2">
        <v>150</v>
      </c>
      <c r="C2">
        <v>100</v>
      </c>
    </row>
    <row r="3" spans="1:3" x14ac:dyDescent="0.3">
      <c r="A3" t="s">
        <v>42</v>
      </c>
      <c r="B3">
        <v>100</v>
      </c>
      <c r="C3">
        <v>80</v>
      </c>
    </row>
    <row r="4" spans="1:3" x14ac:dyDescent="0.3">
      <c r="A4" t="s">
        <v>43</v>
      </c>
      <c r="B4">
        <v>1000</v>
      </c>
      <c r="C4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스폰 raw 데이터</vt:lpstr>
      <vt:lpstr>스탯 기초값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요환 최</dc:creator>
  <cp:lastModifiedBy>user2</cp:lastModifiedBy>
  <dcterms:created xsi:type="dcterms:W3CDTF">2026-07-12T15:49:45Z</dcterms:created>
  <dcterms:modified xsi:type="dcterms:W3CDTF">2026-07-13T01:18:32Z</dcterms:modified>
</cp:coreProperties>
</file>